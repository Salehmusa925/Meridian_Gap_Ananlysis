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77be4b2bf8f6db1/Documents/"/>
    </mc:Choice>
  </mc:AlternateContent>
  <xr:revisionPtr revIDLastSave="0" documentId="8_{842A82C3-83CD-4791-B721-C0086DDE764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rg Profile" sheetId="1" r:id="rId1"/>
    <sheet name="Departments &amp; Leadership" sheetId="2" r:id="rId2"/>
    <sheet name="Asset &amp; Equipment Inventory" sheetId="3" r:id="rId3"/>
    <sheet name="Gap Analysis" sheetId="4" r:id="rId4"/>
    <sheet name="Security Controls Matrix" sheetId="5" r:id="rId5"/>
  </sheets>
  <definedNames>
    <definedName name="_xlnm.Print_Area" localSheetId="2">'Asset &amp; Equipment Inventory'!$A$1:$I$16</definedName>
    <definedName name="_xlnm.Print_Area" localSheetId="1">'Departments &amp; Leadership'!$A$1:$F$14</definedName>
    <definedName name="_xlnm.Print_Area" localSheetId="3">'Gap Analysis'!$A$1:$H$20</definedName>
    <definedName name="_xlnm.Print_Area" localSheetId="0">'Org Profile'!$A$1:$B$19</definedName>
    <definedName name="_xlnm.Print_Area" localSheetId="4">'Security Controls Matrix'!$A$1:$G$25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5" i="5" l="1"/>
  <c r="D24" i="5"/>
  <c r="D23" i="5"/>
  <c r="D22" i="5"/>
  <c r="D20" i="4"/>
  <c r="D19" i="4"/>
  <c r="D18" i="4"/>
  <c r="D17" i="4"/>
</calcChain>
</file>

<file path=xl/sharedStrings.xml><?xml version="1.0" encoding="utf-8"?>
<sst xmlns="http://schemas.openxmlformats.org/spreadsheetml/2006/main" count="419" uniqueCount="339">
  <si>
    <t>Meridian Health Partners — Organizational Profile</t>
  </si>
  <si>
    <t>Foundational context for GRC/IAM risk assessment, control alignment, and audit scoping</t>
  </si>
  <si>
    <t>Organization Type</t>
  </si>
  <si>
    <t>Regional healthcare system — acute care hospital + outpatient clinic network</t>
  </si>
  <si>
    <t>Size</t>
  </si>
  <si>
    <t>500-bed hospital + 12 outpatient clinics | ~3,200 employees | ~45,000 patients served annually</t>
  </si>
  <si>
    <t>Departments</t>
  </si>
  <si>
    <t>Clinical Operations, IT/Security, Finance &amp; Billing, Human Resources, Biomedical Engineering, Facilities, Compliance/Legal, Patient Services, Pharmacy, Laboratory</t>
  </si>
  <si>
    <t>Leadership / Governance Structure</t>
  </si>
  <si>
    <t>CEO, CISO (Chief Information Security Officer), CIO, Chief Compliance Officer, Chief Medical Officer, Privacy Officer (HIPAA), Risk Management Committee (quarterly), IT Steering Committee</t>
  </si>
  <si>
    <t>Patient Population</t>
  </si>
  <si>
    <t>Inpatient acute care, outpatient clinical visits, emergency department, telehealth/patient portal users</t>
  </si>
  <si>
    <t>Data Handled</t>
  </si>
  <si>
    <t>Protected Health Information (PHI), Personally Identifiable Information (PII), payment/billing data (PCI scope for self-pay), employee HR data, medical device telemetry</t>
  </si>
  <si>
    <t>Technology Environment</t>
  </si>
  <si>
    <t>On-prem Active Directory + Azure AD, EHR (clinical application), Patient Portal (SaaS), networked medical devices (IoMT), billing/finance systems, email/collaboration (M365), backup/DR infrastructure</t>
  </si>
  <si>
    <t>Applicable Regulatory &amp; Framework Scope</t>
  </si>
  <si>
    <t>HIPAA Security &amp; Privacy Rules, HITECH Act, NIST Cybersecurity Framework (CSF) 2.0, NIST 800-53 / 800-66 (HIPAA-aligned), ISO 27001, FDA Premarket Cybersecurity Guidance (networked medical devices), PCI-DSS (limited card-payment scope), state breach notification laws</t>
  </si>
  <si>
    <t>Department &amp; Leadership Governance Matrix</t>
  </si>
  <si>
    <t>Maps departments to leadership ownership and GRC/IAM responsibilities</t>
  </si>
  <si>
    <t>Department</t>
  </si>
  <si>
    <t>Department Head / Title</t>
  </si>
  <si>
    <t>Headcount (approx.)</t>
  </si>
  <si>
    <t>Systems / Assets Owned</t>
  </si>
  <si>
    <t>GRC Responsibility</t>
  </si>
  <si>
    <t>IAM Responsibility</t>
  </si>
  <si>
    <t>Clinical Operations</t>
  </si>
  <si>
    <t>Chief Medical Officer</t>
  </si>
  <si>
    <t>1,400</t>
  </si>
  <si>
    <t>EHR, Networked Medical Devices, Clinical Workstations</t>
  </si>
  <si>
    <t>Patient safety risk input; incident reporting</t>
  </si>
  <si>
    <t>Role-based clinical access requests; access review participation</t>
  </si>
  <si>
    <t>IT / Security</t>
  </si>
  <si>
    <t>CISO + CIO</t>
  </si>
  <si>
    <t>85</t>
  </si>
  <si>
    <t>AD/Azure AD, Network Infrastructure, Patient Portal, Backup/DR</t>
  </si>
  <si>
    <t>Owns security control implementation, risk register, audits</t>
  </si>
  <si>
    <t>Owns provisioning, JML lifecycle, access certification</t>
  </si>
  <si>
    <t>Finance &amp; Billing</t>
  </si>
  <si>
    <t>CFO</t>
  </si>
  <si>
    <t>120</t>
  </si>
  <si>
    <t>EHR Billing Module, Finance/ERP System</t>
  </si>
  <si>
    <t>SOX-aligned control testing; billing fraud risk monitoring</t>
  </si>
  <si>
    <t>Approves billing access requests; SoD enforcement</t>
  </si>
  <si>
    <t>Human Resources</t>
  </si>
  <si>
    <t>Chief HR Officer</t>
  </si>
  <si>
    <t>40</t>
  </si>
  <si>
    <t>HRIS, Employee Records</t>
  </si>
  <si>
    <t>Background checks; policy acknowledgment tracking</t>
  </si>
  <si>
    <t>Triggers JML lifecycle via HRIS feed</t>
  </si>
  <si>
    <t>Biomedical Engineering</t>
  </si>
  <si>
    <t>Director of Biomedical Engineering</t>
  </si>
  <si>
    <t>25</t>
  </si>
  <si>
    <t>Networked Medical Devices (IoMT), Device Management Platform</t>
  </si>
  <si>
    <t>FDA cybersecurity compliance for connected devices</t>
  </si>
  <si>
    <t>Manages vendor remote access to medical devices</t>
  </si>
  <si>
    <t>Facilities</t>
  </si>
  <si>
    <t>Director of Facilities</t>
  </si>
  <si>
    <t>60</t>
  </si>
  <si>
    <t>Badge Access System, Physical Security Infrastructure</t>
  </si>
  <si>
    <t>Physical security risk assessments</t>
  </si>
  <si>
    <t>Badge access provisioning and reconciliation</t>
  </si>
  <si>
    <t>Compliance / Legal</t>
  </si>
  <si>
    <t>Chief Compliance Officer / Privacy Officer</t>
  </si>
  <si>
    <t>12</t>
  </si>
  <si>
    <t>Compliance Management System, Audit Documentation</t>
  </si>
  <si>
    <t>HIPAA Privacy Rule oversight; breach notification; policy governance</t>
  </si>
  <si>
    <t>Approves access policy exceptions</t>
  </si>
  <si>
    <t>Patient Services</t>
  </si>
  <si>
    <t>VP Patient Experience</t>
  </si>
  <si>
    <t>200</t>
  </si>
  <si>
    <t>Patient Portal, Scheduling System</t>
  </si>
  <si>
    <t>Patient data privacy complaints handling</t>
  </si>
  <si>
    <t>Front-desk/portal admin access requests</t>
  </si>
  <si>
    <t>Pharmacy</t>
  </si>
  <si>
    <t>Director of Pharmacy</t>
  </si>
  <si>
    <t>90</t>
  </si>
  <si>
    <t>Pharmacy Management System, Controlled Substance Tracking</t>
  </si>
  <si>
    <t>DEA/controlled substance compliance</t>
  </si>
  <si>
    <t>Highly restricted access; dual-control requirements</t>
  </si>
  <si>
    <t>Laboratory</t>
  </si>
  <si>
    <t>Lab Director</t>
  </si>
  <si>
    <t>110</t>
  </si>
  <si>
    <t>Lab Information System (LIS), Diagnostic Equipment</t>
  </si>
  <si>
    <t>CLIA compliance; result integrity controls</t>
  </si>
  <si>
    <t>Lab system access tied to certification/credentialing</t>
  </si>
  <si>
    <t>Medical Equipment &amp; Critical Asset Inventory</t>
  </si>
  <si>
    <t>Inventory assessment of networked assets — supports risk scoring, patch management, and FDA premarket cybersecurity alignment</t>
  </si>
  <si>
    <t>Asset ID</t>
  </si>
  <si>
    <t>Asset / Equipment Type</t>
  </si>
  <si>
    <t>Network Connected?</t>
  </si>
  <si>
    <t>Vendor</t>
  </si>
  <si>
    <t>Criticality</t>
  </si>
  <si>
    <t>Patch/Firmware Status</t>
  </si>
  <si>
    <t>Risk Notes</t>
  </si>
  <si>
    <t>MED-001</t>
  </si>
  <si>
    <t>Networked Infusion Pumps (fleet of 85)</t>
  </si>
  <si>
    <t>Yes</t>
  </si>
  <si>
    <t>Medtech Solutions Inc.</t>
  </si>
  <si>
    <t>Critical</t>
  </si>
  <si>
    <t>Outdated firmware on 22 units</t>
  </si>
  <si>
    <t>Dosage data, patient ID</t>
  </si>
  <si>
    <t>Legacy firmware unsupported by vendor; segmentation required</t>
  </si>
  <si>
    <t>MED-002</t>
  </si>
  <si>
    <t>Patient Monitoring Systems (ICU/ED)</t>
  </si>
  <si>
    <t>VitalSign Systems</t>
  </si>
  <si>
    <t>Current</t>
  </si>
  <si>
    <t>Vital signs, PHI</t>
  </si>
  <si>
    <t>Vendor remote access not time-bound (see R-014)</t>
  </si>
  <si>
    <t>MED-003</t>
  </si>
  <si>
    <t>Imaging Systems (MRI/CT/X-Ray)</t>
  </si>
  <si>
    <t>Radiology</t>
  </si>
  <si>
    <t>Imaging Dynamics Corp.</t>
  </si>
  <si>
    <t>Current, quarterly patch cycle</t>
  </si>
  <si>
    <t>DICOM imaging, PHI</t>
  </si>
  <si>
    <t>Large attack surface; isolated VLAN recommended</t>
  </si>
  <si>
    <t>MED-004</t>
  </si>
  <si>
    <t>Pharmacy Dispensing Cabinets</t>
  </si>
  <si>
    <t>PharmSecure Systems</t>
  </si>
  <si>
    <t>Controlled substance records, patient ID</t>
  </si>
  <si>
    <t>Requires dual-control access; audit trail validated quarterly</t>
  </si>
  <si>
    <t>MED-005</t>
  </si>
  <si>
    <t>Lab Diagnostic Analyzers</t>
  </si>
  <si>
    <t>LabTech Instruments</t>
  </si>
  <si>
    <t>High</t>
  </si>
  <si>
    <t>Test results, PHI</t>
  </si>
  <si>
    <t>Interfaced to LIS; access controls reviewed annually</t>
  </si>
  <si>
    <t>IT-001</t>
  </si>
  <si>
    <t>EHR Application Servers</t>
  </si>
  <si>
    <t>IT/Security</t>
  </si>
  <si>
    <t>Internal / EHR Vendor</t>
  </si>
  <si>
    <t>Full PHI dataset</t>
  </si>
  <si>
    <t>Primary target asset; backup tested status — see R-011</t>
  </si>
  <si>
    <t>IT-002</t>
  </si>
  <si>
    <t>Patient Portal (SaaS)</t>
  </si>
  <si>
    <t>PortalCare SaaS</t>
  </si>
  <si>
    <t>Vendor-managed</t>
  </si>
  <si>
    <t>PHI, patient credentials</t>
  </si>
  <si>
    <t>SOC 2 report not current — see R-003</t>
  </si>
  <si>
    <t>IT-003</t>
  </si>
  <si>
    <t>Active Directory / Azure AD</t>
  </si>
  <si>
    <t>Internal / Microsoft</t>
  </si>
  <si>
    <t>Identity/credential data</t>
  </si>
  <si>
    <t>Privileged access review required — see R-001</t>
  </si>
  <si>
    <t>IT-004</t>
  </si>
  <si>
    <t>Clinical Workstations (fleet ~600)</t>
  </si>
  <si>
    <t>Various</t>
  </si>
  <si>
    <t>OS end-of-life on subset</t>
  </si>
  <si>
    <t>PHI access endpoints</t>
  </si>
  <si>
    <t>Phased OS upgrade in progress — see R-004</t>
  </si>
  <si>
    <t>IT-005</t>
  </si>
  <si>
    <t>Backup / DR Infrastructure</t>
  </si>
  <si>
    <t>Internal</t>
  </si>
  <si>
    <t>Full system backups (PHI)</t>
  </si>
  <si>
    <t>Restoration testing overdue — see R-011</t>
  </si>
  <si>
    <t>FIN-001</t>
  </si>
  <si>
    <t>Billing / Finance ERP</t>
  </si>
  <si>
    <t>Finance Systems Inc.</t>
  </si>
  <si>
    <t>Billing, limited payment card data</t>
  </si>
  <si>
    <t>SoD conflict identified — see R-006</t>
  </si>
  <si>
    <t>FAC-001</t>
  </si>
  <si>
    <t>Badge Access Control System</t>
  </si>
  <si>
    <t>SecureAccess Corp.</t>
  </si>
  <si>
    <t>Medium</t>
  </si>
  <si>
    <t>Employee access logs</t>
  </si>
  <si>
    <t>Reconciliation against HR roster overdue — see R-007</t>
  </si>
  <si>
    <t>Framework Gap Analysis</t>
  </si>
  <si>
    <t>Current state vs. required state across applicable frameworks | Status: Met / Partial / Not Met</t>
  </si>
  <si>
    <t>Domain</t>
  </si>
  <si>
    <t>Framework Requirement</t>
  </si>
  <si>
    <t>Framework Reference</t>
  </si>
  <si>
    <t>Current State</t>
  </si>
  <si>
    <t>Gap Identified</t>
  </si>
  <si>
    <t>Status</t>
  </si>
  <si>
    <t>Remediation Plan</t>
  </si>
  <si>
    <t>Owner</t>
  </si>
  <si>
    <t>Access Control</t>
  </si>
  <si>
    <t>Periodic access review/recertification for all privileged and standard users</t>
  </si>
  <si>
    <t>HIPAA 164.312(a)(1); NIST PR.AA</t>
  </si>
  <si>
    <t>Quarterly review process exists but inconsistently enforced</t>
  </si>
  <si>
    <t>Orphaned/excessive access not consistently caught between cycles</t>
  </si>
  <si>
    <t>Partial</t>
  </si>
  <si>
    <t>Implement automated access certification with quarterly cadence + ad hoc triggers (see IAM Access Governance project)</t>
  </si>
  <si>
    <t>IAM Lead</t>
  </si>
  <si>
    <t>Segregation of duties enforced for financial and clinical transactions</t>
  </si>
  <si>
    <t>SOX; NIST PR.AA</t>
  </si>
  <si>
    <t>SoD matrix defined but not systematically audited</t>
  </si>
  <si>
    <t>Manual enforcement, conflict identified in billing module (R-006)</t>
  </si>
  <si>
    <t>Quarterly automated SoD conflict scan; restrict approval roles</t>
  </si>
  <si>
    <t>Finance Systems Owner</t>
  </si>
  <si>
    <t>Data Protection</t>
  </si>
  <si>
    <t>Encryption of PHI in transit and at rest</t>
  </si>
  <si>
    <t>HIPAA 164.312(e); NIST PR.DS</t>
  </si>
  <si>
    <t>At-rest encryption implemented; in-transit encryption inconsistent between sites</t>
  </si>
  <si>
    <t>Unencrypted inter-site PHI transmission identified (R-002)</t>
  </si>
  <si>
    <t>Enforce TLS 1.2+ org-wide; network monitoring for plaintext PHI</t>
  </si>
  <si>
    <t>IT Infrastructure Manager</t>
  </si>
  <si>
    <t>Vendor/Third-Party Risk</t>
  </si>
  <si>
    <t>Annual security assessment of vendors handling PHI or connected to clinical network</t>
  </si>
  <si>
    <t>HIPAA Business Associate Agreements; NIST GV.SC</t>
  </si>
  <si>
    <t>BAAs on file; security assessments not consistently performed</t>
  </si>
  <si>
    <t>Patient portal vendor SOC 2 not current (R-003); medical device vendor remote access ungoverned (R-014)</t>
  </si>
  <si>
    <t>Not Met</t>
  </si>
  <si>
    <t>Formalize annual vendor risk assessment program with BAA + SOC 2 tracking</t>
  </si>
  <si>
    <t>Vendor Risk Manager</t>
  </si>
  <si>
    <t>Asset Management</t>
  </si>
  <si>
    <t>Maintained inventory of networked medical devices with patch/firmware status</t>
  </si>
  <si>
    <t>FDA Premarket Cybersecurity Guidance; NIST ID.AM</t>
  </si>
  <si>
    <t>Asset inventory exists (see Asset Inventory tab) but firmware status not centrally tracked</t>
  </si>
  <si>
    <t>22 infusion pumps on outdated firmware undetected until manual audit</t>
  </si>
  <si>
    <t>Implement centralized medical device inventory and firmware monitoring tool</t>
  </si>
  <si>
    <t>Incident Response</t>
  </si>
  <si>
    <t>Documented and tested incident response plan covering ransomware/clinical-system disruption</t>
  </si>
  <si>
    <t>HIPAA 164.308(a)(6); NIST RS.MA</t>
  </si>
  <si>
    <t>General IR plan exists; no clinical-specific ransomware tabletop conducted</t>
  </si>
  <si>
    <t>No evidence of testing against clinical downtime scenario (R-005)</t>
  </si>
  <si>
    <t>Develop and tabletop-test ransomware-specific IR plan with clinical continuity procedures</t>
  </si>
  <si>
    <t>CISO / Security Lead</t>
  </si>
  <si>
    <t>Business Continuity</t>
  </si>
  <si>
    <t>Regular testing of backup restoration for critical clinical systems</t>
  </si>
  <si>
    <t>HIPAA 164.308(a)(7); NIST RC.RP</t>
  </si>
  <si>
    <t>Backups performed nightly; restoration not tested in 12+ months</t>
  </si>
  <si>
    <t>No validated recovery time objective (RTO) confirmation (R-011)</t>
  </si>
  <si>
    <t>Quarterly backup restoration test with documented RTO/RPO validation</t>
  </si>
  <si>
    <t>Awareness &amp; Training</t>
  </si>
  <si>
    <t>Security awareness training with measurable effectiveness (e.g., phishing simulation)</t>
  </si>
  <si>
    <t>HIPAA 164.308(a)(5); NIST PR.AT</t>
  </si>
  <si>
    <t>Annual training conducted; phishing simulation click-rate above target (R-009)</t>
  </si>
  <si>
    <t>Training not reinforced with targeted coaching for repeat offenders</t>
  </si>
  <si>
    <t>Increase training cadence; targeted coaching program for repeat-click users</t>
  </si>
  <si>
    <t>Security Awareness Lead</t>
  </si>
  <si>
    <t>Physical Security</t>
  </si>
  <si>
    <t>Physical access to sensitive areas reconciled against authorized personnel list</t>
  </si>
  <si>
    <t>HIPAA 164.310(a); NIST PR.AA</t>
  </si>
  <si>
    <t>Badge system operational; reconciliation against HR roster not automated</t>
  </si>
  <si>
    <t>Terminated employees retained badge access beyond policy window (R-007)</t>
  </si>
  <si>
    <t>Automate badge deactivation trigger from HRIS termination feed</t>
  </si>
  <si>
    <t>Facilities / Security Manager</t>
  </si>
  <si>
    <t>Governance</t>
  </si>
  <si>
    <t>Formal data retention and secure disposal policy covering legacy/decommissioned systems</t>
  </si>
  <si>
    <t>HIPAA 164.310(d); NIST GV.PO</t>
  </si>
  <si>
    <t>No formal policy exists for legacy system data</t>
  </si>
  <si>
    <t>Legacy patient records on decommissioned systems lack disposal plan (R-008)</t>
  </si>
  <si>
    <t>Draft and approve data retention/disposal policy aligned to HIPAA retention requirements</t>
  </si>
  <si>
    <t>Compliance Officer</t>
  </si>
  <si>
    <t>Gap Summary</t>
  </si>
  <si>
    <t>Total Requirements Assessed:</t>
  </si>
  <si>
    <t>Met:</t>
  </si>
  <si>
    <t>Partial:</t>
  </si>
  <si>
    <t>Not Met:</t>
  </si>
  <si>
    <t>Security Controls Implementation Matrix</t>
  </si>
  <si>
    <t>Maps implemented/planned controls to NIST 800-53, HIPAA, and ISO 27001</t>
  </si>
  <si>
    <t>Control ID</t>
  </si>
  <si>
    <t>Control Name</t>
  </si>
  <si>
    <t>NIST 800-53</t>
  </si>
  <si>
    <t>HIPAA Reference</t>
  </si>
  <si>
    <t>ISO 27001 Annex A</t>
  </si>
  <si>
    <t>Implementation Status</t>
  </si>
  <si>
    <t>CTL-01</t>
  </si>
  <si>
    <t>Role-Based Access Control (RBAC)</t>
  </si>
  <si>
    <t>AC-2, AC-6</t>
  </si>
  <si>
    <t>164.312(a)(1)</t>
  </si>
  <si>
    <t>A.9.2</t>
  </si>
  <si>
    <t>Implemented</t>
  </si>
  <si>
    <t>CTL-02</t>
  </si>
  <si>
    <t>Periodic Access Recertification</t>
  </si>
  <si>
    <t>AC-2(3)</t>
  </si>
  <si>
    <t>164.308(a)(4)</t>
  </si>
  <si>
    <t>A.9.2.5</t>
  </si>
  <si>
    <t>CTL-03</t>
  </si>
  <si>
    <t>Segregation of Duties</t>
  </si>
  <si>
    <t>AC-5</t>
  </si>
  <si>
    <t>A.6.1.2</t>
  </si>
  <si>
    <t>Partially Implemented</t>
  </si>
  <si>
    <t>CTL-04</t>
  </si>
  <si>
    <t>Encryption in Transit</t>
  </si>
  <si>
    <t>SC-8</t>
  </si>
  <si>
    <t>164.312(e)(1)</t>
  </si>
  <si>
    <t>A.10.1</t>
  </si>
  <si>
    <t>CTL-05</t>
  </si>
  <si>
    <t>Encryption at Rest</t>
  </si>
  <si>
    <t>SC-28</t>
  </si>
  <si>
    <t>164.312(a)(2)(iv)</t>
  </si>
  <si>
    <t>CTL-06</t>
  </si>
  <si>
    <t>Vendor Security Assessment Program</t>
  </si>
  <si>
    <t>SA-9, SR-6</t>
  </si>
  <si>
    <t>164.308(b)(1)</t>
  </si>
  <si>
    <t>A.15.1</t>
  </si>
  <si>
    <t>Not Implemented</t>
  </si>
  <si>
    <t>CTL-07</t>
  </si>
  <si>
    <t>Medical Device Asset &amp; Firmware Inventory</t>
  </si>
  <si>
    <t>CM-8</t>
  </si>
  <si>
    <t>164.310(d)(1)</t>
  </si>
  <si>
    <t>A.8.1.1</t>
  </si>
  <si>
    <t>CTL-08</t>
  </si>
  <si>
    <t>Incident Response Plan &amp; Testing</t>
  </si>
  <si>
    <t>IR-3, IR-4</t>
  </si>
  <si>
    <t>164.308(a)(6)</t>
  </si>
  <si>
    <t>A.16.1</t>
  </si>
  <si>
    <t>CTL-09</t>
  </si>
  <si>
    <t>Backup &amp; Recovery Testing</t>
  </si>
  <si>
    <t>CP-9, CP-10</t>
  </si>
  <si>
    <t>164.308(a)(7)</t>
  </si>
  <si>
    <t>A.12.3</t>
  </si>
  <si>
    <t>CTL-10</t>
  </si>
  <si>
    <t>Security Awareness Training</t>
  </si>
  <si>
    <t>AT-2</t>
  </si>
  <si>
    <t>164.308(a)(5)</t>
  </si>
  <si>
    <t>A.7.2.2</t>
  </si>
  <si>
    <t>CTL-11</t>
  </si>
  <si>
    <t>Physical Access Control &amp; Reconciliation</t>
  </si>
  <si>
    <t>PE-2, PE-3</t>
  </si>
  <si>
    <t>164.310(a)(1)</t>
  </si>
  <si>
    <t>A.11.1</t>
  </si>
  <si>
    <t>CTL-12</t>
  </si>
  <si>
    <t>Data Retention &amp; Disposal Policy</t>
  </si>
  <si>
    <t>MP-6</t>
  </si>
  <si>
    <t>164.310(d)(2)</t>
  </si>
  <si>
    <t>A.8.3.2</t>
  </si>
  <si>
    <t>CTL-13</t>
  </si>
  <si>
    <t>Vulnerability Management &amp; Patch SLA</t>
  </si>
  <si>
    <t>RA-5, SI-2</t>
  </si>
  <si>
    <t>164.308(a)(1)</t>
  </si>
  <si>
    <t>A.12.6</t>
  </si>
  <si>
    <t>IT Security Engineer</t>
  </si>
  <si>
    <t>CTL-14</t>
  </si>
  <si>
    <t>Time-Bound Privileged/Vendor Remote Access</t>
  </si>
  <si>
    <t>AC-17, AC-2(2)</t>
  </si>
  <si>
    <t>A.9.4</t>
  </si>
  <si>
    <t>Biomedical IT Manager</t>
  </si>
  <si>
    <t>CTL-15</t>
  </si>
  <si>
    <t>Mobile Device Management (MDM)</t>
  </si>
  <si>
    <t>AC-19</t>
  </si>
  <si>
    <t>A.6.2.1</t>
  </si>
  <si>
    <t>Controls Summary</t>
  </si>
  <si>
    <t>Total Controls Assessed:</t>
  </si>
  <si>
    <t>Implemented:</t>
  </si>
  <si>
    <t>Partially Implemented:</t>
  </si>
  <si>
    <t>Not Implemented: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</si>
</sst>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b/>
      <sz val="12"/>
      <color rgb="FF1F3864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6" fillId="0" borderId="0" xfId="0" applyFont="1"/>
    <xf numFmtId="0" fontId="2" fillId="0" borderId="0" xfId="0" applyFont="1"/>
    <xf numFmtId="0" fontId="1" fillId="0" borderId="0" xfId="0" applyFont="1"/>
    <xf numFmtId="0" fontId="3" fillId="2" borderId="1" xfId="0" applyFont="1" applyFill="1" applyBorder="1"/>
    <xf numFmtId="0" fontId="0" fillId="3" borderId="1" xfId="0" applyFill="1" applyBorder="1" applyAlignment="1">
      <alignment vertical="top" wrapText="1"/>
    </xf>
    <xf numFmtId="0" fontId="0" fillId="0" borderId="1" xfId="0" applyBorder="1"/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6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F9999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8"/>
  <sheetViews>
    <sheetView tabSelected="1" zoomScaleNormal="100" workbookViewId="0">
      <selection sqref="A1:F1"/>
    </sheetView>
  </sheetViews>
  <sheetFormatPr defaultColWidth="8.6640625" defaultRowHeight="14.4" x14ac:dyDescent="0.3"/>
  <cols>
    <col min="1" max="1" width="32" customWidth="1"/>
    <col min="2" max="2" width="88" customWidth="1"/>
  </cols>
  <sheetData>
    <row r="1" spans="1:6" ht="25.5" customHeight="1" x14ac:dyDescent="0.4">
      <c r="A1" s="3" t="s">
        <v>0</v>
      </c>
      <c r="B1" s="3"/>
      <c r="C1" s="3"/>
      <c r="D1" s="3"/>
      <c r="E1" s="3"/>
      <c r="F1" s="3"/>
    </row>
    <row r="2" spans="1:6" ht="18" customHeight="1" x14ac:dyDescent="0.3">
      <c r="A2" s="2" t="s">
        <v>1</v>
      </c>
      <c r="B2" s="2"/>
      <c r="C2" s="2"/>
      <c r="D2" s="2"/>
      <c r="E2" s="2"/>
      <c r="F2" s="2"/>
    </row>
    <row r="4" spans="1:6" ht="49.5" customHeight="1" x14ac:dyDescent="0.3">
      <c r="A4" s="4" t="s">
        <v>2</v>
      </c>
      <c r="B4" s="5" t="s">
        <v>3</v>
      </c>
    </row>
    <row r="5" spans="1:6" x14ac:dyDescent="0.3">
      <c r="A5" s="6"/>
      <c r="B5" s="6"/>
    </row>
    <row r="6" spans="1:6" ht="49.5" customHeight="1" x14ac:dyDescent="0.3">
      <c r="A6" s="4" t="s">
        <v>4</v>
      </c>
      <c r="B6" s="5" t="s">
        <v>5</v>
      </c>
    </row>
    <row r="7" spans="1:6" x14ac:dyDescent="0.3">
      <c r="A7" s="6"/>
      <c r="B7" s="6"/>
    </row>
    <row r="8" spans="1:6" ht="49.5" customHeight="1" x14ac:dyDescent="0.3">
      <c r="A8" s="4" t="s">
        <v>6</v>
      </c>
      <c r="B8" s="5" t="s">
        <v>7</v>
      </c>
    </row>
    <row r="9" spans="1:6" x14ac:dyDescent="0.3">
      <c r="A9" s="6"/>
      <c r="B9" s="6"/>
    </row>
    <row r="10" spans="1:6" ht="49.5" customHeight="1" x14ac:dyDescent="0.3">
      <c r="A10" s="4" t="s">
        <v>8</v>
      </c>
      <c r="B10" s="5" t="s">
        <v>9</v>
      </c>
    </row>
    <row r="11" spans="1:6" x14ac:dyDescent="0.3">
      <c r="A11" s="6"/>
      <c r="B11" s="6"/>
    </row>
    <row r="12" spans="1:6" ht="49.5" customHeight="1" x14ac:dyDescent="0.3">
      <c r="A12" s="4" t="s">
        <v>10</v>
      </c>
      <c r="B12" s="5" t="s">
        <v>11</v>
      </c>
    </row>
    <row r="13" spans="1:6" x14ac:dyDescent="0.3">
      <c r="A13" s="6"/>
      <c r="B13" s="6"/>
    </row>
    <row r="14" spans="1:6" ht="49.5" customHeight="1" x14ac:dyDescent="0.3">
      <c r="A14" s="4" t="s">
        <v>12</v>
      </c>
      <c r="B14" s="5" t="s">
        <v>13</v>
      </c>
    </row>
    <row r="15" spans="1:6" x14ac:dyDescent="0.3">
      <c r="A15" s="6"/>
      <c r="B15" s="6"/>
    </row>
    <row r="16" spans="1:6" ht="49.5" customHeight="1" x14ac:dyDescent="0.3">
      <c r="A16" s="4" t="s">
        <v>14</v>
      </c>
      <c r="B16" s="5" t="s">
        <v>15</v>
      </c>
    </row>
    <row r="17" spans="1:2" x14ac:dyDescent="0.3">
      <c r="A17" s="6"/>
      <c r="B17" s="6"/>
    </row>
    <row r="18" spans="1:2" ht="49.5" customHeight="1" x14ac:dyDescent="0.3">
      <c r="A18" s="4" t="s">
        <v>16</v>
      </c>
      <c r="B18" s="5" t="s">
        <v>17</v>
      </c>
    </row>
  </sheetData>
  <mergeCells count="2">
    <mergeCell ref="A1:F1"/>
    <mergeCell ref="A2:F2"/>
  </mergeCells>
  <pageMargins left="0.3" right="0.3" top="0.3" bottom="0.3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4"/>
  <sheetViews>
    <sheetView zoomScaleNormal="100" workbookViewId="0">
      <pane ySplit="4" topLeftCell="A5" activePane="bottomLeft" state="frozen"/>
      <selection pane="bottomLeft" sqref="A1:F1"/>
    </sheetView>
  </sheetViews>
  <sheetFormatPr defaultColWidth="8.6640625" defaultRowHeight="14.4" x14ac:dyDescent="0.3"/>
  <cols>
    <col min="1" max="1" width="22" customWidth="1"/>
    <col min="2" max="2" width="26" customWidth="1"/>
    <col min="3" max="3" width="16" customWidth="1"/>
    <col min="4" max="4" width="32" customWidth="1"/>
    <col min="5" max="6" width="34" customWidth="1"/>
  </cols>
  <sheetData>
    <row r="1" spans="1:6" ht="25.5" customHeight="1" x14ac:dyDescent="0.4">
      <c r="A1" s="3" t="s">
        <v>18</v>
      </c>
      <c r="B1" s="3"/>
      <c r="C1" s="3"/>
      <c r="D1" s="3"/>
      <c r="E1" s="3"/>
      <c r="F1" s="3"/>
    </row>
    <row r="2" spans="1:6" ht="18" customHeight="1" x14ac:dyDescent="0.3">
      <c r="A2" s="2" t="s">
        <v>19</v>
      </c>
      <c r="B2" s="2"/>
      <c r="C2" s="2"/>
      <c r="D2" s="2"/>
      <c r="E2" s="2"/>
      <c r="F2" s="2"/>
    </row>
    <row r="4" spans="1:6" ht="33.75" customHeight="1" x14ac:dyDescent="0.3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</row>
    <row r="5" spans="1:6" ht="45.75" customHeight="1" x14ac:dyDescent="0.3">
      <c r="A5" s="8" t="s">
        <v>26</v>
      </c>
      <c r="B5" s="8" t="s">
        <v>27</v>
      </c>
      <c r="C5" s="8" t="s">
        <v>28</v>
      </c>
      <c r="D5" s="8" t="s">
        <v>29</v>
      </c>
      <c r="E5" s="8" t="s">
        <v>30</v>
      </c>
      <c r="F5" s="8" t="s">
        <v>31</v>
      </c>
    </row>
    <row r="6" spans="1:6" ht="45.75" customHeight="1" x14ac:dyDescent="0.3">
      <c r="A6" s="5" t="s">
        <v>32</v>
      </c>
      <c r="B6" s="5" t="s">
        <v>33</v>
      </c>
      <c r="C6" s="5" t="s">
        <v>34</v>
      </c>
      <c r="D6" s="5" t="s">
        <v>35</v>
      </c>
      <c r="E6" s="5" t="s">
        <v>36</v>
      </c>
      <c r="F6" s="5" t="s">
        <v>37</v>
      </c>
    </row>
    <row r="7" spans="1:6" ht="45.75" customHeight="1" x14ac:dyDescent="0.3">
      <c r="A7" s="8" t="s">
        <v>38</v>
      </c>
      <c r="B7" s="8" t="s">
        <v>39</v>
      </c>
      <c r="C7" s="8" t="s">
        <v>40</v>
      </c>
      <c r="D7" s="8" t="s">
        <v>41</v>
      </c>
      <c r="E7" s="8" t="s">
        <v>42</v>
      </c>
      <c r="F7" s="8" t="s">
        <v>43</v>
      </c>
    </row>
    <row r="8" spans="1:6" ht="45.75" customHeight="1" x14ac:dyDescent="0.3">
      <c r="A8" s="5" t="s">
        <v>44</v>
      </c>
      <c r="B8" s="5" t="s">
        <v>45</v>
      </c>
      <c r="C8" s="5" t="s">
        <v>46</v>
      </c>
      <c r="D8" s="5" t="s">
        <v>47</v>
      </c>
      <c r="E8" s="5" t="s">
        <v>48</v>
      </c>
      <c r="F8" s="5" t="s">
        <v>49</v>
      </c>
    </row>
    <row r="9" spans="1:6" ht="45.75" customHeight="1" x14ac:dyDescent="0.3">
      <c r="A9" s="8" t="s">
        <v>50</v>
      </c>
      <c r="B9" s="8" t="s">
        <v>51</v>
      </c>
      <c r="C9" s="8" t="s">
        <v>52</v>
      </c>
      <c r="D9" s="8" t="s">
        <v>53</v>
      </c>
      <c r="E9" s="8" t="s">
        <v>54</v>
      </c>
      <c r="F9" s="8" t="s">
        <v>55</v>
      </c>
    </row>
    <row r="10" spans="1:6" ht="45.75" customHeight="1" x14ac:dyDescent="0.3">
      <c r="A10" s="5" t="s">
        <v>56</v>
      </c>
      <c r="B10" s="5" t="s">
        <v>57</v>
      </c>
      <c r="C10" s="5" t="s">
        <v>58</v>
      </c>
      <c r="D10" s="5" t="s">
        <v>59</v>
      </c>
      <c r="E10" s="5" t="s">
        <v>60</v>
      </c>
      <c r="F10" s="5" t="s">
        <v>61</v>
      </c>
    </row>
    <row r="11" spans="1:6" ht="45.75" customHeight="1" x14ac:dyDescent="0.3">
      <c r="A11" s="8" t="s">
        <v>62</v>
      </c>
      <c r="B11" s="8" t="s">
        <v>63</v>
      </c>
      <c r="C11" s="8" t="s">
        <v>64</v>
      </c>
      <c r="D11" s="8" t="s">
        <v>65</v>
      </c>
      <c r="E11" s="8" t="s">
        <v>66</v>
      </c>
      <c r="F11" s="8" t="s">
        <v>67</v>
      </c>
    </row>
    <row r="12" spans="1:6" ht="45.75" customHeight="1" x14ac:dyDescent="0.3">
      <c r="A12" s="5" t="s">
        <v>68</v>
      </c>
      <c r="B12" s="5" t="s">
        <v>69</v>
      </c>
      <c r="C12" s="5" t="s">
        <v>70</v>
      </c>
      <c r="D12" s="5" t="s">
        <v>71</v>
      </c>
      <c r="E12" s="5" t="s">
        <v>72</v>
      </c>
      <c r="F12" s="5" t="s">
        <v>73</v>
      </c>
    </row>
    <row r="13" spans="1:6" ht="45.75" customHeight="1" x14ac:dyDescent="0.3">
      <c r="A13" s="8" t="s">
        <v>74</v>
      </c>
      <c r="B13" s="8" t="s">
        <v>75</v>
      </c>
      <c r="C13" s="8" t="s">
        <v>76</v>
      </c>
      <c r="D13" s="8" t="s">
        <v>77</v>
      </c>
      <c r="E13" s="8" t="s">
        <v>78</v>
      </c>
      <c r="F13" s="8" t="s">
        <v>79</v>
      </c>
    </row>
    <row r="14" spans="1:6" ht="45.75" customHeight="1" x14ac:dyDescent="0.3">
      <c r="A14" s="5" t="s">
        <v>80</v>
      </c>
      <c r="B14" s="5" t="s">
        <v>81</v>
      </c>
      <c r="C14" s="5" t="s">
        <v>82</v>
      </c>
      <c r="D14" s="5" t="s">
        <v>83</v>
      </c>
      <c r="E14" s="5" t="s">
        <v>84</v>
      </c>
      <c r="F14" s="5" t="s">
        <v>85</v>
      </c>
    </row>
  </sheetData>
  <mergeCells count="2">
    <mergeCell ref="A1:F1"/>
    <mergeCell ref="A2:F2"/>
  </mergeCells>
  <pageMargins left="0.3" right="0.3" top="0.3" bottom="0.3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6"/>
  <sheetViews>
    <sheetView zoomScaleNormal="100" workbookViewId="0">
      <pane ySplit="4" topLeftCell="A5" activePane="bottomLeft" state="frozen"/>
      <selection pane="bottomLeft" sqref="A1:I1"/>
    </sheetView>
  </sheetViews>
  <sheetFormatPr defaultColWidth="8.6640625" defaultRowHeight="14.4" x14ac:dyDescent="0.3"/>
  <cols>
    <col min="1" max="1" width="10" customWidth="1"/>
    <col min="2" max="2" width="30" customWidth="1"/>
    <col min="3" max="3" width="18" customWidth="1"/>
    <col min="4" max="4" width="14" customWidth="1"/>
    <col min="5" max="5" width="22" customWidth="1"/>
    <col min="6" max="6" width="11" customWidth="1"/>
    <col min="7" max="8" width="22" customWidth="1"/>
    <col min="9" max="9" width="32" customWidth="1"/>
  </cols>
  <sheetData>
    <row r="1" spans="1:9" ht="25.5" customHeight="1" x14ac:dyDescent="0.4">
      <c r="A1" s="3" t="s">
        <v>86</v>
      </c>
      <c r="B1" s="3"/>
      <c r="C1" s="3"/>
      <c r="D1" s="3"/>
      <c r="E1" s="3"/>
      <c r="F1" s="3"/>
      <c r="G1" s="3"/>
      <c r="H1" s="3"/>
      <c r="I1" s="3"/>
    </row>
    <row r="2" spans="1:9" ht="18" customHeight="1" x14ac:dyDescent="0.3">
      <c r="A2" s="2" t="s">
        <v>87</v>
      </c>
      <c r="B2" s="2"/>
      <c r="C2" s="2"/>
      <c r="D2" s="2"/>
      <c r="E2" s="2"/>
      <c r="F2" s="2"/>
      <c r="G2" s="2"/>
      <c r="H2" s="2"/>
      <c r="I2" s="2"/>
    </row>
    <row r="4" spans="1:9" ht="33.75" customHeight="1" x14ac:dyDescent="0.3">
      <c r="A4" s="7" t="s">
        <v>88</v>
      </c>
      <c r="B4" s="7" t="s">
        <v>89</v>
      </c>
      <c r="C4" s="7" t="s">
        <v>20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12</v>
      </c>
      <c r="I4" s="7" t="s">
        <v>94</v>
      </c>
    </row>
    <row r="5" spans="1:9" ht="43.5" customHeight="1" x14ac:dyDescent="0.3">
      <c r="A5" s="8" t="s">
        <v>95</v>
      </c>
      <c r="B5" s="8" t="s">
        <v>96</v>
      </c>
      <c r="C5" s="8" t="s">
        <v>26</v>
      </c>
      <c r="D5" s="8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</row>
    <row r="6" spans="1:9" ht="43.5" customHeight="1" x14ac:dyDescent="0.3">
      <c r="A6" s="5" t="s">
        <v>103</v>
      </c>
      <c r="B6" s="5" t="s">
        <v>104</v>
      </c>
      <c r="C6" s="5" t="s">
        <v>26</v>
      </c>
      <c r="D6" s="5" t="s">
        <v>97</v>
      </c>
      <c r="E6" s="5" t="s">
        <v>105</v>
      </c>
      <c r="F6" s="5" t="s">
        <v>99</v>
      </c>
      <c r="G6" s="5" t="s">
        <v>106</v>
      </c>
      <c r="H6" s="5" t="s">
        <v>107</v>
      </c>
      <c r="I6" s="5" t="s">
        <v>108</v>
      </c>
    </row>
    <row r="7" spans="1:9" ht="43.5" customHeight="1" x14ac:dyDescent="0.3">
      <c r="A7" s="8" t="s">
        <v>109</v>
      </c>
      <c r="B7" s="8" t="s">
        <v>110</v>
      </c>
      <c r="C7" s="8" t="s">
        <v>111</v>
      </c>
      <c r="D7" s="8" t="s">
        <v>97</v>
      </c>
      <c r="E7" s="8" t="s">
        <v>112</v>
      </c>
      <c r="F7" s="8" t="s">
        <v>99</v>
      </c>
      <c r="G7" s="8" t="s">
        <v>113</v>
      </c>
      <c r="H7" s="8" t="s">
        <v>114</v>
      </c>
      <c r="I7" s="8" t="s">
        <v>115</v>
      </c>
    </row>
    <row r="8" spans="1:9" ht="43.5" customHeight="1" x14ac:dyDescent="0.3">
      <c r="A8" s="5" t="s">
        <v>116</v>
      </c>
      <c r="B8" s="5" t="s">
        <v>117</v>
      </c>
      <c r="C8" s="5" t="s">
        <v>74</v>
      </c>
      <c r="D8" s="5" t="s">
        <v>97</v>
      </c>
      <c r="E8" s="5" t="s">
        <v>118</v>
      </c>
      <c r="F8" s="5" t="s">
        <v>99</v>
      </c>
      <c r="G8" s="5" t="s">
        <v>106</v>
      </c>
      <c r="H8" s="5" t="s">
        <v>119</v>
      </c>
      <c r="I8" s="5" t="s">
        <v>120</v>
      </c>
    </row>
    <row r="9" spans="1:9" ht="43.5" customHeight="1" x14ac:dyDescent="0.3">
      <c r="A9" s="8" t="s">
        <v>121</v>
      </c>
      <c r="B9" s="8" t="s">
        <v>122</v>
      </c>
      <c r="C9" s="8" t="s">
        <v>80</v>
      </c>
      <c r="D9" s="8" t="s">
        <v>97</v>
      </c>
      <c r="E9" s="8" t="s">
        <v>123</v>
      </c>
      <c r="F9" s="8" t="s">
        <v>124</v>
      </c>
      <c r="G9" s="8" t="s">
        <v>106</v>
      </c>
      <c r="H9" s="8" t="s">
        <v>125</v>
      </c>
      <c r="I9" s="8" t="s">
        <v>126</v>
      </c>
    </row>
    <row r="10" spans="1:9" ht="43.5" customHeight="1" x14ac:dyDescent="0.3">
      <c r="A10" s="5" t="s">
        <v>127</v>
      </c>
      <c r="B10" s="5" t="s">
        <v>128</v>
      </c>
      <c r="C10" s="5" t="s">
        <v>129</v>
      </c>
      <c r="D10" s="5" t="s">
        <v>97</v>
      </c>
      <c r="E10" s="5" t="s">
        <v>130</v>
      </c>
      <c r="F10" s="5" t="s">
        <v>99</v>
      </c>
      <c r="G10" s="5" t="s">
        <v>106</v>
      </c>
      <c r="H10" s="5" t="s">
        <v>131</v>
      </c>
      <c r="I10" s="5" t="s">
        <v>132</v>
      </c>
    </row>
    <row r="11" spans="1:9" ht="43.5" customHeight="1" x14ac:dyDescent="0.3">
      <c r="A11" s="8" t="s">
        <v>133</v>
      </c>
      <c r="B11" s="8" t="s">
        <v>134</v>
      </c>
      <c r="C11" s="8" t="s">
        <v>129</v>
      </c>
      <c r="D11" s="8" t="s">
        <v>97</v>
      </c>
      <c r="E11" s="8" t="s">
        <v>135</v>
      </c>
      <c r="F11" s="8" t="s">
        <v>99</v>
      </c>
      <c r="G11" s="8" t="s">
        <v>136</v>
      </c>
      <c r="H11" s="8" t="s">
        <v>137</v>
      </c>
      <c r="I11" s="8" t="s">
        <v>138</v>
      </c>
    </row>
    <row r="12" spans="1:9" ht="43.5" customHeight="1" x14ac:dyDescent="0.3">
      <c r="A12" s="5" t="s">
        <v>139</v>
      </c>
      <c r="B12" s="5" t="s">
        <v>140</v>
      </c>
      <c r="C12" s="5" t="s">
        <v>129</v>
      </c>
      <c r="D12" s="5" t="s">
        <v>97</v>
      </c>
      <c r="E12" s="5" t="s">
        <v>141</v>
      </c>
      <c r="F12" s="5" t="s">
        <v>99</v>
      </c>
      <c r="G12" s="5" t="s">
        <v>106</v>
      </c>
      <c r="H12" s="5" t="s">
        <v>142</v>
      </c>
      <c r="I12" s="5" t="s">
        <v>143</v>
      </c>
    </row>
    <row r="13" spans="1:9" ht="43.5" customHeight="1" x14ac:dyDescent="0.3">
      <c r="A13" s="8" t="s">
        <v>144</v>
      </c>
      <c r="B13" s="8" t="s">
        <v>145</v>
      </c>
      <c r="C13" s="8" t="s">
        <v>26</v>
      </c>
      <c r="D13" s="8" t="s">
        <v>97</v>
      </c>
      <c r="E13" s="8" t="s">
        <v>146</v>
      </c>
      <c r="F13" s="8" t="s">
        <v>124</v>
      </c>
      <c r="G13" s="8" t="s">
        <v>147</v>
      </c>
      <c r="H13" s="8" t="s">
        <v>148</v>
      </c>
      <c r="I13" s="8" t="s">
        <v>149</v>
      </c>
    </row>
    <row r="14" spans="1:9" ht="43.5" customHeight="1" x14ac:dyDescent="0.3">
      <c r="A14" s="5" t="s">
        <v>150</v>
      </c>
      <c r="B14" s="5" t="s">
        <v>151</v>
      </c>
      <c r="C14" s="5" t="s">
        <v>129</v>
      </c>
      <c r="D14" s="5" t="s">
        <v>97</v>
      </c>
      <c r="E14" s="5" t="s">
        <v>152</v>
      </c>
      <c r="F14" s="5" t="s">
        <v>99</v>
      </c>
      <c r="G14" s="5" t="s">
        <v>106</v>
      </c>
      <c r="H14" s="5" t="s">
        <v>153</v>
      </c>
      <c r="I14" s="5" t="s">
        <v>154</v>
      </c>
    </row>
    <row r="15" spans="1:9" ht="43.5" customHeight="1" x14ac:dyDescent="0.3">
      <c r="A15" s="8" t="s">
        <v>155</v>
      </c>
      <c r="B15" s="8" t="s">
        <v>156</v>
      </c>
      <c r="C15" s="8" t="s">
        <v>38</v>
      </c>
      <c r="D15" s="8" t="s">
        <v>97</v>
      </c>
      <c r="E15" s="8" t="s">
        <v>157</v>
      </c>
      <c r="F15" s="8" t="s">
        <v>124</v>
      </c>
      <c r="G15" s="8" t="s">
        <v>106</v>
      </c>
      <c r="H15" s="8" t="s">
        <v>158</v>
      </c>
      <c r="I15" s="8" t="s">
        <v>159</v>
      </c>
    </row>
    <row r="16" spans="1:9" ht="43.5" customHeight="1" x14ac:dyDescent="0.3">
      <c r="A16" s="5" t="s">
        <v>160</v>
      </c>
      <c r="B16" s="5" t="s">
        <v>161</v>
      </c>
      <c r="C16" s="5" t="s">
        <v>56</v>
      </c>
      <c r="D16" s="5" t="s">
        <v>97</v>
      </c>
      <c r="E16" s="5" t="s">
        <v>162</v>
      </c>
      <c r="F16" s="5" t="s">
        <v>163</v>
      </c>
      <c r="G16" s="5" t="s">
        <v>106</v>
      </c>
      <c r="H16" s="5" t="s">
        <v>164</v>
      </c>
      <c r="I16" s="5" t="s">
        <v>165</v>
      </c>
    </row>
  </sheetData>
  <mergeCells count="2">
    <mergeCell ref="A1:I1"/>
    <mergeCell ref="A2:I2"/>
  </mergeCells>
  <pageMargins left="0.3" right="0.3" top="0.3" bottom="0.3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0"/>
  <sheetViews>
    <sheetView zoomScaleNormal="100" workbookViewId="0">
      <pane ySplit="4" topLeftCell="A5" activePane="bottomLeft" state="frozen"/>
      <selection pane="bottomLeft" sqref="A1:H1"/>
    </sheetView>
  </sheetViews>
  <sheetFormatPr defaultColWidth="8.6640625" defaultRowHeight="14.4" x14ac:dyDescent="0.3"/>
  <cols>
    <col min="1" max="1" width="16" customWidth="1"/>
    <col min="2" max="2" width="30" customWidth="1"/>
    <col min="3" max="3" width="20" customWidth="1"/>
    <col min="4" max="5" width="28" customWidth="1"/>
    <col min="6" max="6" width="11" customWidth="1"/>
    <col min="7" max="7" width="32" customWidth="1"/>
    <col min="8" max="8" width="20" customWidth="1"/>
  </cols>
  <sheetData>
    <row r="1" spans="1:8" ht="25.5" customHeight="1" x14ac:dyDescent="0.4">
      <c r="A1" s="3" t="s">
        <v>166</v>
      </c>
      <c r="B1" s="3"/>
      <c r="C1" s="3"/>
      <c r="D1" s="3"/>
      <c r="E1" s="3"/>
      <c r="F1" s="3"/>
      <c r="G1" s="3"/>
      <c r="H1" s="3"/>
    </row>
    <row r="2" spans="1:8" ht="18" customHeight="1" x14ac:dyDescent="0.3">
      <c r="A2" s="2" t="s">
        <v>167</v>
      </c>
      <c r="B2" s="2"/>
      <c r="C2" s="2"/>
      <c r="D2" s="2"/>
      <c r="E2" s="2"/>
      <c r="F2" s="2"/>
      <c r="G2" s="2"/>
      <c r="H2" s="2"/>
    </row>
    <row r="4" spans="1:8" ht="33.75" customHeight="1" x14ac:dyDescent="0.3">
      <c r="A4" s="7" t="s">
        <v>168</v>
      </c>
      <c r="B4" s="7" t="s">
        <v>169</v>
      </c>
      <c r="C4" s="7" t="s">
        <v>170</v>
      </c>
      <c r="D4" s="7" t="s">
        <v>171</v>
      </c>
      <c r="E4" s="7" t="s">
        <v>172</v>
      </c>
      <c r="F4" s="7" t="s">
        <v>173</v>
      </c>
      <c r="G4" s="7" t="s">
        <v>174</v>
      </c>
      <c r="H4" s="7" t="s">
        <v>175</v>
      </c>
    </row>
    <row r="5" spans="1:8" ht="57.75" customHeight="1" x14ac:dyDescent="0.3">
      <c r="A5" s="8" t="s">
        <v>176</v>
      </c>
      <c r="B5" s="8" t="s">
        <v>177</v>
      </c>
      <c r="C5" s="8" t="s">
        <v>178</v>
      </c>
      <c r="D5" s="8" t="s">
        <v>179</v>
      </c>
      <c r="E5" s="8" t="s">
        <v>180</v>
      </c>
      <c r="F5" s="8" t="s">
        <v>181</v>
      </c>
      <c r="G5" s="8" t="s">
        <v>182</v>
      </c>
      <c r="H5" s="8" t="s">
        <v>183</v>
      </c>
    </row>
    <row r="6" spans="1:8" ht="57.75" customHeight="1" x14ac:dyDescent="0.3">
      <c r="A6" s="5" t="s">
        <v>176</v>
      </c>
      <c r="B6" s="5" t="s">
        <v>184</v>
      </c>
      <c r="C6" s="5" t="s">
        <v>185</v>
      </c>
      <c r="D6" s="5" t="s">
        <v>186</v>
      </c>
      <c r="E6" s="5" t="s">
        <v>187</v>
      </c>
      <c r="F6" s="5" t="s">
        <v>181</v>
      </c>
      <c r="G6" s="5" t="s">
        <v>188</v>
      </c>
      <c r="H6" s="5" t="s">
        <v>189</v>
      </c>
    </row>
    <row r="7" spans="1:8" ht="57.75" customHeight="1" x14ac:dyDescent="0.3">
      <c r="A7" s="8" t="s">
        <v>190</v>
      </c>
      <c r="B7" s="8" t="s">
        <v>191</v>
      </c>
      <c r="C7" s="8" t="s">
        <v>192</v>
      </c>
      <c r="D7" s="8" t="s">
        <v>193</v>
      </c>
      <c r="E7" s="8" t="s">
        <v>194</v>
      </c>
      <c r="F7" s="8" t="s">
        <v>181</v>
      </c>
      <c r="G7" s="8" t="s">
        <v>195</v>
      </c>
      <c r="H7" s="8" t="s">
        <v>196</v>
      </c>
    </row>
    <row r="8" spans="1:8" ht="57.75" customHeight="1" x14ac:dyDescent="0.3">
      <c r="A8" s="5" t="s">
        <v>197</v>
      </c>
      <c r="B8" s="5" t="s">
        <v>198</v>
      </c>
      <c r="C8" s="5" t="s">
        <v>199</v>
      </c>
      <c r="D8" s="5" t="s">
        <v>200</v>
      </c>
      <c r="E8" s="5" t="s">
        <v>201</v>
      </c>
      <c r="F8" s="5" t="s">
        <v>202</v>
      </c>
      <c r="G8" s="5" t="s">
        <v>203</v>
      </c>
      <c r="H8" s="5" t="s">
        <v>204</v>
      </c>
    </row>
    <row r="9" spans="1:8" ht="57.75" customHeight="1" x14ac:dyDescent="0.3">
      <c r="A9" s="8" t="s">
        <v>205</v>
      </c>
      <c r="B9" s="8" t="s">
        <v>206</v>
      </c>
      <c r="C9" s="8" t="s">
        <v>207</v>
      </c>
      <c r="D9" s="8" t="s">
        <v>208</v>
      </c>
      <c r="E9" s="8" t="s">
        <v>209</v>
      </c>
      <c r="F9" s="8" t="s">
        <v>181</v>
      </c>
      <c r="G9" s="8" t="s">
        <v>210</v>
      </c>
      <c r="H9" s="8" t="s">
        <v>51</v>
      </c>
    </row>
    <row r="10" spans="1:8" ht="57.75" customHeight="1" x14ac:dyDescent="0.3">
      <c r="A10" s="5" t="s">
        <v>211</v>
      </c>
      <c r="B10" s="5" t="s">
        <v>212</v>
      </c>
      <c r="C10" s="5" t="s">
        <v>213</v>
      </c>
      <c r="D10" s="5" t="s">
        <v>214</v>
      </c>
      <c r="E10" s="5" t="s">
        <v>215</v>
      </c>
      <c r="F10" s="5" t="s">
        <v>202</v>
      </c>
      <c r="G10" s="5" t="s">
        <v>216</v>
      </c>
      <c r="H10" s="5" t="s">
        <v>217</v>
      </c>
    </row>
    <row r="11" spans="1:8" ht="57.75" customHeight="1" x14ac:dyDescent="0.3">
      <c r="A11" s="8" t="s">
        <v>218</v>
      </c>
      <c r="B11" s="8" t="s">
        <v>219</v>
      </c>
      <c r="C11" s="8" t="s">
        <v>220</v>
      </c>
      <c r="D11" s="8" t="s">
        <v>221</v>
      </c>
      <c r="E11" s="8" t="s">
        <v>222</v>
      </c>
      <c r="F11" s="8" t="s">
        <v>202</v>
      </c>
      <c r="G11" s="8" t="s">
        <v>223</v>
      </c>
      <c r="H11" s="8" t="s">
        <v>196</v>
      </c>
    </row>
    <row r="12" spans="1:8" ht="57.75" customHeight="1" x14ac:dyDescent="0.3">
      <c r="A12" s="5" t="s">
        <v>224</v>
      </c>
      <c r="B12" s="5" t="s">
        <v>225</v>
      </c>
      <c r="C12" s="5" t="s">
        <v>226</v>
      </c>
      <c r="D12" s="5" t="s">
        <v>227</v>
      </c>
      <c r="E12" s="5" t="s">
        <v>228</v>
      </c>
      <c r="F12" s="5" t="s">
        <v>181</v>
      </c>
      <c r="G12" s="5" t="s">
        <v>229</v>
      </c>
      <c r="H12" s="5" t="s">
        <v>230</v>
      </c>
    </row>
    <row r="13" spans="1:8" ht="57.75" customHeight="1" x14ac:dyDescent="0.3">
      <c r="A13" s="8" t="s">
        <v>231</v>
      </c>
      <c r="B13" s="8" t="s">
        <v>232</v>
      </c>
      <c r="C13" s="8" t="s">
        <v>233</v>
      </c>
      <c r="D13" s="8" t="s">
        <v>234</v>
      </c>
      <c r="E13" s="8" t="s">
        <v>235</v>
      </c>
      <c r="F13" s="8" t="s">
        <v>181</v>
      </c>
      <c r="G13" s="8" t="s">
        <v>236</v>
      </c>
      <c r="H13" s="8" t="s">
        <v>237</v>
      </c>
    </row>
    <row r="14" spans="1:8" ht="57.75" customHeight="1" x14ac:dyDescent="0.3">
      <c r="A14" s="5" t="s">
        <v>238</v>
      </c>
      <c r="B14" s="5" t="s">
        <v>239</v>
      </c>
      <c r="C14" s="5" t="s">
        <v>240</v>
      </c>
      <c r="D14" s="5" t="s">
        <v>241</v>
      </c>
      <c r="E14" s="5" t="s">
        <v>242</v>
      </c>
      <c r="F14" s="5" t="s">
        <v>202</v>
      </c>
      <c r="G14" s="5" t="s">
        <v>243</v>
      </c>
      <c r="H14" s="5" t="s">
        <v>244</v>
      </c>
    </row>
    <row r="16" spans="1:8" ht="15.6" x14ac:dyDescent="0.3">
      <c r="A16" s="9" t="s">
        <v>245</v>
      </c>
    </row>
    <row r="17" spans="1:4" x14ac:dyDescent="0.3">
      <c r="A17" s="1" t="s">
        <v>246</v>
      </c>
      <c r="B17" s="1"/>
      <c r="C17" s="1"/>
      <c r="D17" s="10">
        <f>COUNTA(A5:A14)</f>
        <v>10</v>
      </c>
    </row>
    <row r="18" spans="1:4" x14ac:dyDescent="0.3">
      <c r="A18" s="1" t="s">
        <v>247</v>
      </c>
      <c r="B18" s="1"/>
      <c r="C18" s="1"/>
      <c r="D18" s="10">
        <f>COUNTIF(F5:F14,"Met")</f>
        <v>0</v>
      </c>
    </row>
    <row r="19" spans="1:4" x14ac:dyDescent="0.3">
      <c r="A19" s="1" t="s">
        <v>248</v>
      </c>
      <c r="B19" s="1"/>
      <c r="C19" s="1"/>
      <c r="D19" s="10">
        <f>COUNTIF(F5:F14,"Partial")</f>
        <v>6</v>
      </c>
    </row>
    <row r="20" spans="1:4" x14ac:dyDescent="0.3">
      <c r="A20" s="1" t="s">
        <v>249</v>
      </c>
      <c r="B20" s="1"/>
      <c r="C20" s="1"/>
      <c r="D20" s="10">
        <f>COUNTIF(F5:F14,"Not Met")</f>
        <v>4</v>
      </c>
    </row>
  </sheetData>
  <mergeCells count="6">
    <mergeCell ref="A20:C20"/>
    <mergeCell ref="A1:H1"/>
    <mergeCell ref="A2:H2"/>
    <mergeCell ref="A17:C17"/>
    <mergeCell ref="A18:C18"/>
    <mergeCell ref="A19:C19"/>
  </mergeCells>
  <conditionalFormatting sqref="F5:F14">
    <cfRule type="cellIs" dxfId="5" priority="2" operator="equal">
      <formula>"Not Met"</formula>
    </cfRule>
    <cfRule type="cellIs" dxfId="4" priority="3" operator="equal">
      <formula>"Partial"</formula>
    </cfRule>
    <cfRule type="cellIs" dxfId="3" priority="4" operator="equal">
      <formula>"Met"</formula>
    </cfRule>
  </conditionalFormatting>
  <dataValidations count="1">
    <dataValidation type="list" sqref="F5:F14" xr:uid="{00000000-0002-0000-0300-000000000000}">
      <formula1>"Met,Partial,Not Met"</formula1>
      <formula2>0</formula2>
    </dataValidation>
  </dataValidations>
  <pageMargins left="0.3" right="0.3" top="0.3" bottom="0.3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25"/>
  <sheetViews>
    <sheetView zoomScaleNormal="100" workbookViewId="0">
      <pane ySplit="4" topLeftCell="A5" activePane="bottomLeft" state="frozen"/>
      <selection pane="bottomLeft" sqref="A1:G1"/>
    </sheetView>
  </sheetViews>
  <sheetFormatPr defaultColWidth="8.6640625" defaultRowHeight="14.4" x14ac:dyDescent="0.3"/>
  <cols>
    <col min="1" max="1" width="11" customWidth="1"/>
    <col min="2" max="2" width="32" customWidth="1"/>
    <col min="3" max="3" width="14" customWidth="1"/>
    <col min="4" max="4" width="16" customWidth="1"/>
    <col min="5" max="5" width="18" customWidth="1"/>
    <col min="6" max="6" width="22" customWidth="1"/>
    <col min="7" max="7" width="24" customWidth="1"/>
  </cols>
  <sheetData>
    <row r="1" spans="1:7" ht="25.5" customHeight="1" x14ac:dyDescent="0.4">
      <c r="A1" s="3" t="s">
        <v>250</v>
      </c>
      <c r="B1" s="3"/>
      <c r="C1" s="3"/>
      <c r="D1" s="3"/>
      <c r="E1" s="3"/>
      <c r="F1" s="3"/>
      <c r="G1" s="3"/>
    </row>
    <row r="2" spans="1:7" ht="18" customHeight="1" x14ac:dyDescent="0.3">
      <c r="A2" s="2" t="s">
        <v>251</v>
      </c>
      <c r="B2" s="2"/>
      <c r="C2" s="2"/>
      <c r="D2" s="2"/>
      <c r="E2" s="2"/>
      <c r="F2" s="2"/>
      <c r="G2" s="2"/>
    </row>
    <row r="4" spans="1:7" ht="33.75" customHeight="1" x14ac:dyDescent="0.3">
      <c r="A4" s="7" t="s">
        <v>252</v>
      </c>
      <c r="B4" s="7" t="s">
        <v>253</v>
      </c>
      <c r="C4" s="7" t="s">
        <v>254</v>
      </c>
      <c r="D4" s="7" t="s">
        <v>255</v>
      </c>
      <c r="E4" s="7" t="s">
        <v>256</v>
      </c>
      <c r="F4" s="7" t="s">
        <v>257</v>
      </c>
      <c r="G4" s="7" t="s">
        <v>175</v>
      </c>
    </row>
    <row r="5" spans="1:7" ht="31.5" customHeight="1" x14ac:dyDescent="0.3">
      <c r="A5" s="8" t="s">
        <v>258</v>
      </c>
      <c r="B5" s="8" t="s">
        <v>259</v>
      </c>
      <c r="C5" s="8" t="s">
        <v>260</v>
      </c>
      <c r="D5" s="8" t="s">
        <v>261</v>
      </c>
      <c r="E5" s="8" t="s">
        <v>262</v>
      </c>
      <c r="F5" s="8" t="s">
        <v>263</v>
      </c>
      <c r="G5" s="8" t="s">
        <v>183</v>
      </c>
    </row>
    <row r="6" spans="1:7" ht="31.5" customHeight="1" x14ac:dyDescent="0.3">
      <c r="A6" s="5" t="s">
        <v>264</v>
      </c>
      <c r="B6" s="5" t="s">
        <v>265</v>
      </c>
      <c r="C6" s="5" t="s">
        <v>266</v>
      </c>
      <c r="D6" s="5" t="s">
        <v>267</v>
      </c>
      <c r="E6" s="5" t="s">
        <v>268</v>
      </c>
      <c r="F6" s="5" t="s">
        <v>263</v>
      </c>
      <c r="G6" s="5" t="s">
        <v>183</v>
      </c>
    </row>
    <row r="7" spans="1:7" ht="31.5" customHeight="1" x14ac:dyDescent="0.3">
      <c r="A7" s="8" t="s">
        <v>269</v>
      </c>
      <c r="B7" s="8" t="s">
        <v>270</v>
      </c>
      <c r="C7" s="8" t="s">
        <v>271</v>
      </c>
      <c r="D7" s="8" t="s">
        <v>267</v>
      </c>
      <c r="E7" s="8" t="s">
        <v>272</v>
      </c>
      <c r="F7" s="8" t="s">
        <v>273</v>
      </c>
      <c r="G7" s="8" t="s">
        <v>189</v>
      </c>
    </row>
    <row r="8" spans="1:7" ht="31.5" customHeight="1" x14ac:dyDescent="0.3">
      <c r="A8" s="5" t="s">
        <v>274</v>
      </c>
      <c r="B8" s="5" t="s">
        <v>275</v>
      </c>
      <c r="C8" s="5" t="s">
        <v>276</v>
      </c>
      <c r="D8" s="5" t="s">
        <v>277</v>
      </c>
      <c r="E8" s="5" t="s">
        <v>278</v>
      </c>
      <c r="F8" s="5" t="s">
        <v>273</v>
      </c>
      <c r="G8" s="5" t="s">
        <v>196</v>
      </c>
    </row>
    <row r="9" spans="1:7" ht="31.5" customHeight="1" x14ac:dyDescent="0.3">
      <c r="A9" s="8" t="s">
        <v>279</v>
      </c>
      <c r="B9" s="8" t="s">
        <v>280</v>
      </c>
      <c r="C9" s="8" t="s">
        <v>281</v>
      </c>
      <c r="D9" s="8" t="s">
        <v>282</v>
      </c>
      <c r="E9" s="8" t="s">
        <v>278</v>
      </c>
      <c r="F9" s="8" t="s">
        <v>263</v>
      </c>
      <c r="G9" s="8" t="s">
        <v>196</v>
      </c>
    </row>
    <row r="10" spans="1:7" ht="31.5" customHeight="1" x14ac:dyDescent="0.3">
      <c r="A10" s="5" t="s">
        <v>283</v>
      </c>
      <c r="B10" s="5" t="s">
        <v>284</v>
      </c>
      <c r="C10" s="5" t="s">
        <v>285</v>
      </c>
      <c r="D10" s="5" t="s">
        <v>286</v>
      </c>
      <c r="E10" s="5" t="s">
        <v>287</v>
      </c>
      <c r="F10" s="5" t="s">
        <v>288</v>
      </c>
      <c r="G10" s="5" t="s">
        <v>204</v>
      </c>
    </row>
    <row r="11" spans="1:7" ht="31.5" customHeight="1" x14ac:dyDescent="0.3">
      <c r="A11" s="8" t="s">
        <v>289</v>
      </c>
      <c r="B11" s="8" t="s">
        <v>290</v>
      </c>
      <c r="C11" s="8" t="s">
        <v>291</v>
      </c>
      <c r="D11" s="8" t="s">
        <v>292</v>
      </c>
      <c r="E11" s="8" t="s">
        <v>293</v>
      </c>
      <c r="F11" s="8" t="s">
        <v>273</v>
      </c>
      <c r="G11" s="8" t="s">
        <v>51</v>
      </c>
    </row>
    <row r="12" spans="1:7" ht="31.5" customHeight="1" x14ac:dyDescent="0.3">
      <c r="A12" s="5" t="s">
        <v>294</v>
      </c>
      <c r="B12" s="5" t="s">
        <v>295</v>
      </c>
      <c r="C12" s="5" t="s">
        <v>296</v>
      </c>
      <c r="D12" s="5" t="s">
        <v>297</v>
      </c>
      <c r="E12" s="5" t="s">
        <v>298</v>
      </c>
      <c r="F12" s="5" t="s">
        <v>273</v>
      </c>
      <c r="G12" s="5" t="s">
        <v>217</v>
      </c>
    </row>
    <row r="13" spans="1:7" ht="31.5" customHeight="1" x14ac:dyDescent="0.3">
      <c r="A13" s="8" t="s">
        <v>299</v>
      </c>
      <c r="B13" s="8" t="s">
        <v>300</v>
      </c>
      <c r="C13" s="8" t="s">
        <v>301</v>
      </c>
      <c r="D13" s="8" t="s">
        <v>302</v>
      </c>
      <c r="E13" s="8" t="s">
        <v>303</v>
      </c>
      <c r="F13" s="8" t="s">
        <v>288</v>
      </c>
      <c r="G13" s="8" t="s">
        <v>196</v>
      </c>
    </row>
    <row r="14" spans="1:7" ht="31.5" customHeight="1" x14ac:dyDescent="0.3">
      <c r="A14" s="5" t="s">
        <v>304</v>
      </c>
      <c r="B14" s="5" t="s">
        <v>305</v>
      </c>
      <c r="C14" s="5" t="s">
        <v>306</v>
      </c>
      <c r="D14" s="5" t="s">
        <v>307</v>
      </c>
      <c r="E14" s="5" t="s">
        <v>308</v>
      </c>
      <c r="F14" s="5" t="s">
        <v>263</v>
      </c>
      <c r="G14" s="5" t="s">
        <v>230</v>
      </c>
    </row>
    <row r="15" spans="1:7" ht="31.5" customHeight="1" x14ac:dyDescent="0.3">
      <c r="A15" s="8" t="s">
        <v>309</v>
      </c>
      <c r="B15" s="8" t="s">
        <v>310</v>
      </c>
      <c r="C15" s="8" t="s">
        <v>311</v>
      </c>
      <c r="D15" s="8" t="s">
        <v>312</v>
      </c>
      <c r="E15" s="8" t="s">
        <v>313</v>
      </c>
      <c r="F15" s="8" t="s">
        <v>273</v>
      </c>
      <c r="G15" s="8" t="s">
        <v>237</v>
      </c>
    </row>
    <row r="16" spans="1:7" ht="31.5" customHeight="1" x14ac:dyDescent="0.3">
      <c r="A16" s="5" t="s">
        <v>314</v>
      </c>
      <c r="B16" s="5" t="s">
        <v>315</v>
      </c>
      <c r="C16" s="5" t="s">
        <v>316</v>
      </c>
      <c r="D16" s="5" t="s">
        <v>317</v>
      </c>
      <c r="E16" s="5" t="s">
        <v>318</v>
      </c>
      <c r="F16" s="5" t="s">
        <v>288</v>
      </c>
      <c r="G16" s="5" t="s">
        <v>244</v>
      </c>
    </row>
    <row r="17" spans="1:7" ht="31.5" customHeight="1" x14ac:dyDescent="0.3">
      <c r="A17" s="8" t="s">
        <v>319</v>
      </c>
      <c r="B17" s="8" t="s">
        <v>320</v>
      </c>
      <c r="C17" s="8" t="s">
        <v>321</v>
      </c>
      <c r="D17" s="8" t="s">
        <v>322</v>
      </c>
      <c r="E17" s="8" t="s">
        <v>323</v>
      </c>
      <c r="F17" s="8" t="s">
        <v>273</v>
      </c>
      <c r="G17" s="8" t="s">
        <v>324</v>
      </c>
    </row>
    <row r="18" spans="1:7" ht="31.5" customHeight="1" x14ac:dyDescent="0.3">
      <c r="A18" s="5" t="s">
        <v>325</v>
      </c>
      <c r="B18" s="5" t="s">
        <v>326</v>
      </c>
      <c r="C18" s="5" t="s">
        <v>327</v>
      </c>
      <c r="D18" s="5" t="s">
        <v>261</v>
      </c>
      <c r="E18" s="5" t="s">
        <v>328</v>
      </c>
      <c r="F18" s="5" t="s">
        <v>288</v>
      </c>
      <c r="G18" s="5" t="s">
        <v>329</v>
      </c>
    </row>
    <row r="19" spans="1:7" ht="31.5" customHeight="1" x14ac:dyDescent="0.3">
      <c r="A19" s="8" t="s">
        <v>330</v>
      </c>
      <c r="B19" s="8" t="s">
        <v>331</v>
      </c>
      <c r="C19" s="8" t="s">
        <v>332</v>
      </c>
      <c r="D19" s="8" t="s">
        <v>261</v>
      </c>
      <c r="E19" s="8" t="s">
        <v>333</v>
      </c>
      <c r="F19" s="8" t="s">
        <v>288</v>
      </c>
      <c r="G19" s="8" t="s">
        <v>324</v>
      </c>
    </row>
    <row r="21" spans="1:7" ht="15.6" x14ac:dyDescent="0.3">
      <c r="A21" s="9" t="s">
        <v>334</v>
      </c>
    </row>
    <row r="22" spans="1:7" x14ac:dyDescent="0.3">
      <c r="A22" s="1" t="s">
        <v>335</v>
      </c>
      <c r="B22" s="1"/>
      <c r="C22" s="1"/>
      <c r="D22" s="10">
        <f>COUNTA(A5:A19)</f>
        <v>15</v>
      </c>
    </row>
    <row r="23" spans="1:7" x14ac:dyDescent="0.3">
      <c r="A23" s="1" t="s">
        <v>336</v>
      </c>
      <c r="B23" s="1"/>
      <c r="C23" s="1"/>
      <c r="D23" s="10">
        <f>COUNTIF(F5:F19,"Implemented")</f>
        <v>4</v>
      </c>
    </row>
    <row r="24" spans="1:7" x14ac:dyDescent="0.3">
      <c r="A24" s="1" t="s">
        <v>337</v>
      </c>
      <c r="B24" s="1"/>
      <c r="C24" s="1"/>
      <c r="D24" s="10">
        <f>COUNTIF(F5:F19,"Partially Implemented")</f>
        <v>6</v>
      </c>
    </row>
    <row r="25" spans="1:7" x14ac:dyDescent="0.3">
      <c r="A25" s="1" t="s">
        <v>338</v>
      </c>
      <c r="B25" s="1"/>
      <c r="C25" s="1"/>
      <c r="D25" s="10">
        <f>COUNTIF(F5:F19,"Not Implemented")</f>
        <v>5</v>
      </c>
    </row>
  </sheetData>
  <mergeCells count="6">
    <mergeCell ref="A25:C25"/>
    <mergeCell ref="A1:G1"/>
    <mergeCell ref="A2:G2"/>
    <mergeCell ref="A22:C22"/>
    <mergeCell ref="A23:C23"/>
    <mergeCell ref="A24:C24"/>
  </mergeCells>
  <conditionalFormatting sqref="F5:F19">
    <cfRule type="cellIs" dxfId="2" priority="2" operator="equal">
      <formula>"Not Implemented"</formula>
    </cfRule>
    <cfRule type="cellIs" dxfId="1" priority="3" operator="equal">
      <formula>"Partially Implemented"</formula>
    </cfRule>
    <cfRule type="cellIs" dxfId="0" priority="4" operator="equal">
      <formula>"Implemented"</formula>
    </cfRule>
  </conditionalFormatting>
  <dataValidations count="1">
    <dataValidation type="list" sqref="F5:F19" xr:uid="{00000000-0002-0000-0400-000000000000}">
      <formula1>"Implemented,Partially Implemented,Not Implemented"</formula1>
      <formula2>0</formula2>
    </dataValidation>
  </dataValidations>
  <pageMargins left="0.3" right="0.3" top="0.3" bottom="0.3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Org Profile</vt:lpstr>
      <vt:lpstr>Departments &amp; Leadership</vt:lpstr>
      <vt:lpstr>Asset &amp; Equipment Inventory</vt:lpstr>
      <vt:lpstr>Gap Analysis</vt:lpstr>
      <vt:lpstr>Security Controls Matrix</vt:lpstr>
      <vt:lpstr>'Asset &amp; Equipment Inventory'!Print_Area</vt:lpstr>
      <vt:lpstr>'Departments &amp; Leadership'!Print_Area</vt:lpstr>
      <vt:lpstr>'Gap Analysis'!Print_Area</vt:lpstr>
      <vt:lpstr>'Org Profile'!Print_Area</vt:lpstr>
      <vt:lpstr>'Security Controls Matrix'!Print_Area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Saleh Abdu</cp:lastModifiedBy>
  <cp:revision>0</cp:revision>
  <dcterms:created xsi:type="dcterms:W3CDTF">2026-06-20T00:26:43Z</dcterms:created>
  <dcterms:modified xsi:type="dcterms:W3CDTF">2026-10-13T19:28:36Z</dcterms:modified>
  <dc:language>en-US</dc:language>
</cp:coreProperties>
</file>